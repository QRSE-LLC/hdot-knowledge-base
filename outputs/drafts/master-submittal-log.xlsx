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ttal Log" sheetId="1" state="visible" r:id="rId1"/>
    <sheet xmlns:r="http://schemas.openxmlformats.org/officeDocument/2006/relationships" name="Legend &amp; Not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MM/DD/YY"/>
  </numFmts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i val="1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color rgb="00000000"/>
      <sz val="1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D6DCE4"/>
      </patternFill>
    </fill>
    <fill>
      <patternFill patternType="solid">
        <fgColor rgb="00FFF2CC"/>
      </patternFill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EDEDE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164" fontId="5" fillId="5" borderId="1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left" vertical="center" wrapText="1"/>
    </xf>
    <xf numFmtId="164" fontId="6" fillId="6" borderId="1" applyAlignment="1" pivotButton="0" quotePrefix="0" xfId="0">
      <alignment horizontal="left" vertical="center" wrapText="1"/>
    </xf>
    <xf numFmtId="0" fontId="3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5" fillId="7" borderId="1" pivotButton="0" quotePrefix="0" xfId="0"/>
    <xf numFmtId="0" fontId="0" fillId="7" borderId="0" pivotButton="0" quotePrefix="0" xfId="0"/>
    <xf numFmtId="0" fontId="5" fillId="8" borderId="1" pivotButton="0" quotePrefix="0" xfId="0"/>
    <xf numFmtId="0" fontId="0" fillId="8" borderId="0" pivotButton="0" quotePrefix="0" xfId="0"/>
    <xf numFmtId="0" fontId="5" fillId="9" borderId="1" pivotButton="0" quotePrefix="0" xfId="0"/>
    <xf numFmtId="0" fontId="0" fillId="9" borderId="0" pivotButton="0" quotePrefix="0" xfId="0"/>
    <xf numFmtId="0" fontId="5" fillId="10" borderId="1" pivotButton="0" quotePrefix="0" xfId="0"/>
    <xf numFmtId="0" fontId="0" fillId="10" borderId="0" pivotButton="0" quotePrefix="0" xfId="0"/>
    <xf numFmtId="0" fontId="5" fillId="11" borderId="1" pivotButton="0" quotePrefix="0" xfId="0"/>
    <xf numFmtId="0" fontId="0" fillId="11" borderId="0" pivotButton="0" quotePrefix="0" xfId="0"/>
    <xf numFmtId="0" fontId="5" fillId="12" borderId="1" pivotButton="0" quotePrefix="0" xfId="0"/>
    <xf numFmtId="0" fontId="0" fillId="12" borderId="0" pivotButton="0" quotePrefix="0" xfId="0"/>
    <xf numFmtId="0" fontId="3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10" customWidth="1" min="3" max="3"/>
    <col width="18" customWidth="1" min="4" max="4"/>
    <col width="13" customWidth="1" min="5" max="5"/>
    <col width="13" customWidth="1" min="6" max="6"/>
    <col width="13" customWidth="1" min="7" max="7"/>
    <col width="14" customWidth="1" min="8" max="8"/>
    <col width="13" customWidth="1" min="9" max="9"/>
    <col width="28" customWidth="1" min="10" max="10"/>
    <col width="13" customWidth="1" min="11" max="11"/>
    <col width="28" customWidth="1" min="12" max="12"/>
  </cols>
  <sheetData>
    <row r="1" ht="24" customHeight="1">
      <c r="A1" s="1" t="inlineStr">
        <is>
          <t>MASTER SUBMITTAL LOG</t>
        </is>
      </c>
    </row>
    <row r="2">
      <c r="A2" s="2" t="inlineStr">
        <is>
          <t>2005 HDOT Standard Specifications for Road and Bridge Construction</t>
        </is>
      </c>
    </row>
    <row r="3">
      <c r="A3" s="3" t="inlineStr">
        <is>
          <t>Project:</t>
        </is>
      </c>
      <c r="B3" s="3" t="inlineStr"/>
      <c r="C3" s="3" t="inlineStr">
        <is>
          <t>Contract No.:</t>
        </is>
      </c>
      <c r="D3" s="3" t="inlineStr"/>
      <c r="E3" s="3" t="inlineStr">
        <is>
          <t>Contractor:</t>
        </is>
      </c>
      <c r="F3" s="3" t="inlineStr"/>
      <c r="G3" s="3" t="inlineStr">
        <is>
          <t>Resident Engineer:</t>
        </is>
      </c>
      <c r="H3" s="3" t="inlineStr"/>
      <c r="I3" s="3" t="inlineStr">
        <is>
          <t>Date Prepared:</t>
        </is>
      </c>
      <c r="J3" s="3" t="inlineStr"/>
      <c r="K3" s="3" t="inlineStr"/>
      <c r="L3" s="3" t="inlineStr"/>
    </row>
    <row r="4" ht="6" customHeight="1"/>
    <row r="5" ht="18" customHeight="1">
      <c r="A5" s="4" t="inlineStr">
        <is>
          <t>SECTION 1 — PRECONSTRUCTION SUBMITTALS  (§108.03)  |  No progress payments until all items accepted in writing</t>
        </is>
      </c>
    </row>
    <row r="6" ht="30" customHeight="1">
      <c r="A6" s="5" t="inlineStr">
        <is>
          <t>#</t>
        </is>
      </c>
      <c r="B6" s="5" t="inlineStr">
        <is>
          <t>Description</t>
        </is>
      </c>
      <c r="C6" s="5" t="inlineStr">
        <is>
          <t>Spec Ref</t>
        </is>
      </c>
      <c r="D6" s="5" t="inlineStr">
        <is>
          <t>Date
Submitted</t>
        </is>
      </c>
      <c r="E6" s="5" t="inlineStr">
        <is>
          <t>Date
Accepted</t>
        </is>
      </c>
      <c r="F6" s="5" t="inlineStr">
        <is>
          <t>Status</t>
        </is>
      </c>
      <c r="G6" s="5" t="inlineStr">
        <is>
          <t>Notes</t>
        </is>
      </c>
    </row>
    <row r="7" ht="16" customHeight="1">
      <c r="A7" s="6" t="inlineStr">
        <is>
          <t>PRE-01</t>
        </is>
      </c>
      <c r="B7" s="6" t="inlineStr">
        <is>
          <t>List of Superintendent and Supervisory Personnel</t>
        </is>
      </c>
      <c r="C7" s="7" t="inlineStr">
        <is>
          <t>108.03(1)</t>
        </is>
      </c>
      <c r="D7" s="8" t="inlineStr"/>
      <c r="E7" s="8" t="inlineStr"/>
      <c r="F7" s="9" t="inlineStr">
        <is>
          <t>PENDING</t>
        </is>
      </c>
      <c r="G7" s="7" t="inlineStr"/>
    </row>
    <row r="8" ht="16" customHeight="1">
      <c r="A8" s="10" t="inlineStr">
        <is>
          <t>PRE-02</t>
        </is>
      </c>
      <c r="B8" s="10" t="inlineStr">
        <is>
          <t>Name(s) Authorized to Sign for Contractor</t>
        </is>
      </c>
      <c r="C8" s="11" t="inlineStr">
        <is>
          <t>108.03(2)</t>
        </is>
      </c>
      <c r="D8" s="8" t="inlineStr"/>
      <c r="E8" s="8" t="inlineStr"/>
      <c r="F8" s="9" t="inlineStr">
        <is>
          <t>PENDING</t>
        </is>
      </c>
      <c r="G8" s="11" t="inlineStr"/>
    </row>
    <row r="9" ht="16" customHeight="1">
      <c r="A9" s="6" t="inlineStr">
        <is>
          <t>PRE-03</t>
        </is>
      </c>
      <c r="B9" s="6" t="inlineStr">
        <is>
          <t>Work Schedule</t>
        </is>
      </c>
      <c r="C9" s="7" t="inlineStr">
        <is>
          <t>108.03(3)</t>
        </is>
      </c>
      <c r="D9" s="8" t="inlineStr"/>
      <c r="E9" s="8" t="inlineStr"/>
      <c r="F9" s="9" t="inlineStr">
        <is>
          <t>PENDING</t>
        </is>
      </c>
      <c r="G9" s="7" t="inlineStr"/>
    </row>
    <row r="10" ht="16" customHeight="1">
      <c r="A10" s="10" t="inlineStr">
        <is>
          <t>PRE-04</t>
        </is>
      </c>
      <c r="B10" s="10" t="inlineStr">
        <is>
          <t>Initial Progress Schedule (TSLD) — see §108.06</t>
        </is>
      </c>
      <c r="C10" s="11" t="inlineStr">
        <is>
          <t>108.03(4)</t>
        </is>
      </c>
      <c r="D10" s="8" t="inlineStr"/>
      <c r="E10" s="8" t="inlineStr"/>
      <c r="F10" s="9" t="inlineStr">
        <is>
          <t>PENDING</t>
        </is>
      </c>
      <c r="G10" s="11" t="inlineStr"/>
    </row>
    <row r="11" ht="16" customHeight="1">
      <c r="A11" s="6" t="inlineStr">
        <is>
          <t>PRE-05</t>
        </is>
      </c>
      <c r="B11" s="6" t="inlineStr">
        <is>
          <t>Water Pollution and Siltation Control Plan</t>
        </is>
      </c>
      <c r="C11" s="7" t="inlineStr">
        <is>
          <t>108.03(5)</t>
        </is>
      </c>
      <c r="D11" s="8" t="inlineStr"/>
      <c r="E11" s="8" t="inlineStr"/>
      <c r="F11" s="9" t="inlineStr">
        <is>
          <t>PENDING</t>
        </is>
      </c>
      <c r="G11" s="7" t="inlineStr"/>
    </row>
    <row r="12" ht="16" customHeight="1">
      <c r="A12" s="10" t="inlineStr">
        <is>
          <t>PRE-06</t>
        </is>
      </c>
      <c r="B12" s="10" t="inlineStr">
        <is>
          <t>Solid Waste Disposal Form</t>
        </is>
      </c>
      <c r="C12" s="11" t="inlineStr">
        <is>
          <t>108.03(6)</t>
        </is>
      </c>
      <c r="D12" s="8" t="inlineStr"/>
      <c r="E12" s="8" t="inlineStr"/>
      <c r="F12" s="9" t="inlineStr">
        <is>
          <t>PENDING</t>
        </is>
      </c>
      <c r="G12" s="11" t="inlineStr"/>
    </row>
    <row r="13" ht="16" customHeight="1">
      <c r="A13" s="6" t="inlineStr">
        <is>
          <t>PRE-07</t>
        </is>
      </c>
      <c r="B13" s="6" t="inlineStr">
        <is>
          <t>Tax Rates</t>
        </is>
      </c>
      <c r="C13" s="7" t="inlineStr">
        <is>
          <t>108.03(7)</t>
        </is>
      </c>
      <c r="D13" s="8" t="inlineStr"/>
      <c r="E13" s="8" t="inlineStr"/>
      <c r="F13" s="9" t="inlineStr">
        <is>
          <t>PENDING</t>
        </is>
      </c>
      <c r="G13" s="7" t="inlineStr"/>
    </row>
    <row r="14" ht="16" customHeight="1">
      <c r="A14" s="10" t="inlineStr">
        <is>
          <t>PRE-08</t>
        </is>
      </c>
      <c r="B14" s="10" t="inlineStr">
        <is>
          <t>Insurance Rates</t>
        </is>
      </c>
      <c r="C14" s="11" t="inlineStr">
        <is>
          <t>108.03(8)</t>
        </is>
      </c>
      <c r="D14" s="8" t="inlineStr"/>
      <c r="E14" s="8" t="inlineStr"/>
      <c r="F14" s="9" t="inlineStr">
        <is>
          <t>PENDING</t>
        </is>
      </c>
      <c r="G14" s="11" t="inlineStr"/>
    </row>
    <row r="15" ht="16" customHeight="1">
      <c r="A15" s="6" t="inlineStr">
        <is>
          <t>PRE-09</t>
        </is>
      </c>
      <c r="B15" s="6" t="inlineStr">
        <is>
          <t>Certificate of Insurance</t>
        </is>
      </c>
      <c r="C15" s="7" t="inlineStr">
        <is>
          <t>108.03(9)</t>
        </is>
      </c>
      <c r="D15" s="8" t="inlineStr"/>
      <c r="E15" s="8" t="inlineStr"/>
      <c r="F15" s="9" t="inlineStr">
        <is>
          <t>PENDING</t>
        </is>
      </c>
      <c r="G15" s="7" t="inlineStr"/>
    </row>
    <row r="16" ht="16" customHeight="1">
      <c r="A16" s="10" t="inlineStr">
        <is>
          <t>PRE-10</t>
        </is>
      </c>
      <c r="B16" s="10" t="inlineStr">
        <is>
          <t>Schedule of Agreed Prices</t>
        </is>
      </c>
      <c r="C16" s="11" t="inlineStr">
        <is>
          <t>108.03(10)</t>
        </is>
      </c>
      <c r="D16" s="8" t="inlineStr"/>
      <c r="E16" s="8" t="inlineStr"/>
      <c r="F16" s="9" t="inlineStr">
        <is>
          <t>PENDING</t>
        </is>
      </c>
      <c r="G16" s="11" t="inlineStr"/>
    </row>
    <row r="17" ht="16" customHeight="1">
      <c r="A17" s="6" t="inlineStr">
        <is>
          <t>PRE-11</t>
        </is>
      </c>
      <c r="B17" s="6" t="inlineStr">
        <is>
          <t>List of Suppliers</t>
        </is>
      </c>
      <c r="C17" s="7" t="inlineStr">
        <is>
          <t>108.03(11)</t>
        </is>
      </c>
      <c r="D17" s="8" t="inlineStr"/>
      <c r="E17" s="8" t="inlineStr"/>
      <c r="F17" s="9" t="inlineStr">
        <is>
          <t>PENDING</t>
        </is>
      </c>
      <c r="G17" s="7" t="inlineStr"/>
    </row>
    <row r="19" ht="18" customHeight="1">
      <c r="A19" s="4" t="inlineStr">
        <is>
          <t>SECTION 2 — SHOP DRAWINGS &amp; DESCRIPTIVE DATA  (§105.02–05.04)  |  30-day Engineer review  |  Resubmit within 15 days of rejection</t>
        </is>
      </c>
    </row>
    <row r="20" ht="30" customHeight="1">
      <c r="A20" s="5" t="inlineStr">
        <is>
          <t>#</t>
        </is>
      </c>
      <c r="B20" s="5" t="inlineStr">
        <is>
          <t>Description</t>
        </is>
      </c>
      <c r="C20" s="5" t="inlineStr">
        <is>
          <t>Spec
Ref</t>
        </is>
      </c>
      <c r="D20" s="5" t="inlineStr">
        <is>
          <t>Type</t>
        </is>
      </c>
      <c r="E20" s="5" t="inlineStr">
        <is>
          <t>Copies
Req'd</t>
        </is>
      </c>
      <c r="F20" s="5" t="inlineStr">
        <is>
          <t>HI PE
Stamp?</t>
        </is>
      </c>
      <c r="G20" s="5" t="inlineStr">
        <is>
          <t>Date
Submitted</t>
        </is>
      </c>
      <c r="H20" s="5" t="inlineStr">
        <is>
          <t>Engineer
Due (30d)</t>
        </is>
      </c>
      <c r="I20" s="5" t="inlineStr">
        <is>
          <t>Date
Returned</t>
        </is>
      </c>
      <c r="J20" s="5" t="inlineStr">
        <is>
          <t>Status</t>
        </is>
      </c>
      <c r="K20" s="5" t="inlineStr">
        <is>
          <t>Resubmit
Due (15d)</t>
        </is>
      </c>
      <c r="L20" s="5" t="inlineStr">
        <is>
          <t>Notes</t>
        </is>
      </c>
    </row>
    <row r="21" ht="16" customHeight="1">
      <c r="A21" s="6" t="inlineStr">
        <is>
          <t>SD-01</t>
        </is>
      </c>
      <c r="B21" s="6" t="inlineStr">
        <is>
          <t>HMA Job-Mix Formula (JMF)</t>
        </is>
      </c>
      <c r="C21" s="7" t="inlineStr">
        <is>
          <t>401.02(B-C)</t>
        </is>
      </c>
      <c r="D21" s="7" t="inlineStr">
        <is>
          <t>Shop Drawing</t>
        </is>
      </c>
      <c r="E21" s="7" t="inlineStr">
        <is>
          <t>6</t>
        </is>
      </c>
      <c r="F21" s="7" t="inlineStr">
        <is>
          <t>No</t>
        </is>
      </c>
      <c r="G21" s="12" t="inlineStr"/>
      <c r="H21" s="13">
        <f>IF(G21="","",G21+30)</f>
        <v/>
      </c>
      <c r="I21" s="12" t="inlineStr"/>
      <c r="J21" s="9" t="inlineStr">
        <is>
          <t>PENDING</t>
        </is>
      </c>
      <c r="K21" s="13">
        <f>IF(I21="","",I21+15)</f>
        <v/>
      </c>
      <c r="L21" s="7" t="inlineStr">
        <is>
          <t>Must be accepted before HMA production begins</t>
        </is>
      </c>
    </row>
    <row r="22" ht="16" customHeight="1">
      <c r="A22" s="10" t="inlineStr">
        <is>
          <t>SD-02</t>
        </is>
      </c>
      <c r="B22" s="10" t="inlineStr">
        <is>
          <t>Traffic Control Plan</t>
        </is>
      </c>
      <c r="C22" s="11" t="inlineStr">
        <is>
          <t>104.09</t>
        </is>
      </c>
      <c r="D22" s="11" t="inlineStr">
        <is>
          <t>Shop Drawing</t>
        </is>
      </c>
      <c r="E22" s="11" t="inlineStr">
        <is>
          <t>6</t>
        </is>
      </c>
      <c r="F22" s="11" t="inlineStr">
        <is>
          <t>Yes</t>
        </is>
      </c>
      <c r="G22" s="12" t="inlineStr"/>
      <c r="H22" s="14">
        <f>IF(G22="","",G22+30)</f>
        <v/>
      </c>
      <c r="I22" s="12" t="inlineStr"/>
      <c r="J22" s="9" t="inlineStr">
        <is>
          <t>PENDING</t>
        </is>
      </c>
      <c r="K22" s="14">
        <f>IF(I22="","",I22+15)</f>
        <v/>
      </c>
      <c r="L22" s="11" t="inlineStr">
        <is>
          <t>HI PE stamp required; submit early</t>
        </is>
      </c>
    </row>
    <row r="23" ht="16" customHeight="1">
      <c r="A23" s="6" t="inlineStr">
        <is>
          <t>SD-03</t>
        </is>
      </c>
      <c r="B23" s="6" t="inlineStr">
        <is>
          <t>Erosion / Water Pollution Control Plan</t>
        </is>
      </c>
      <c r="C23" s="7" t="inlineStr">
        <is>
          <t>107.16</t>
        </is>
      </c>
      <c r="D23" s="7" t="inlineStr">
        <is>
          <t>Descriptive</t>
        </is>
      </c>
      <c r="E23" s="7" t="inlineStr">
        <is>
          <t>6</t>
        </is>
      </c>
      <c r="F23" s="7" t="inlineStr">
        <is>
          <t>No</t>
        </is>
      </c>
      <c r="G23" s="12" t="inlineStr"/>
      <c r="H23" s="13">
        <f>IF(G23="","",G23+30)</f>
        <v/>
      </c>
      <c r="I23" s="12" t="inlineStr"/>
      <c r="J23" s="9" t="inlineStr">
        <is>
          <t>PENDING</t>
        </is>
      </c>
      <c r="K23" s="13">
        <f>IF(I23="","",I23+15)</f>
        <v/>
      </c>
      <c r="L23" s="7" t="inlineStr"/>
    </row>
    <row r="24" ht="16" customHeight="1">
      <c r="A24" s="10" t="inlineStr">
        <is>
          <t>SD-04</t>
        </is>
      </c>
      <c r="B24" s="10" t="inlineStr">
        <is>
          <t>Structural Shop Drawings</t>
        </is>
      </c>
      <c r="C24" s="11" t="inlineStr">
        <is>
          <t>501+</t>
        </is>
      </c>
      <c r="D24" s="11" t="inlineStr">
        <is>
          <t>Shop Drawing</t>
        </is>
      </c>
      <c r="E24" s="11" t="inlineStr">
        <is>
          <t>6</t>
        </is>
      </c>
      <c r="F24" s="11" t="inlineStr">
        <is>
          <t>Yes</t>
        </is>
      </c>
      <c r="G24" s="12" t="inlineStr"/>
      <c r="H24" s="14">
        <f>IF(G24="","",G24+30)</f>
        <v/>
      </c>
      <c r="I24" s="12" t="inlineStr"/>
      <c r="J24" s="9" t="inlineStr">
        <is>
          <t>PENDING</t>
        </is>
      </c>
      <c r="K24" s="14">
        <f>IF(I24="","",I24+15)</f>
        <v/>
      </c>
      <c r="L24" s="11" t="inlineStr">
        <is>
          <t>HI PE stamp required for all structural</t>
        </is>
      </c>
    </row>
    <row r="25" ht="16" customHeight="1">
      <c r="A25" s="6" t="inlineStr">
        <is>
          <t>SD-05</t>
        </is>
      </c>
      <c r="B25" s="6" t="inlineStr">
        <is>
          <t>Utility Protection / Relocation Plan</t>
        </is>
      </c>
      <c r="C25" s="7" t="inlineStr">
        <is>
          <t>104.11</t>
        </is>
      </c>
      <c r="D25" s="7" t="inlineStr">
        <is>
          <t>Shop Drawing</t>
        </is>
      </c>
      <c r="E25" s="7" t="inlineStr">
        <is>
          <t>6</t>
        </is>
      </c>
      <c r="F25" s="7" t="inlineStr">
        <is>
          <t>No</t>
        </is>
      </c>
      <c r="G25" s="12" t="inlineStr"/>
      <c r="H25" s="13">
        <f>IF(G25="","",G25+30)</f>
        <v/>
      </c>
      <c r="I25" s="12" t="inlineStr"/>
      <c r="J25" s="9" t="inlineStr">
        <is>
          <t>PENDING</t>
        </is>
      </c>
      <c r="K25" s="13">
        <f>IF(I25="","",I25+15)</f>
        <v/>
      </c>
      <c r="L25" s="7" t="inlineStr">
        <is>
          <t>Submit before earthwork begins</t>
        </is>
      </c>
    </row>
    <row r="26" ht="16" customHeight="1">
      <c r="A26" s="10" t="inlineStr">
        <is>
          <t>SD-06</t>
        </is>
      </c>
      <c r="B26" s="10" t="inlineStr">
        <is>
          <t>Cold Planing Plan</t>
        </is>
      </c>
      <c r="C26" s="11" t="inlineStr">
        <is>
          <t>415</t>
        </is>
      </c>
      <c r="D26" s="11" t="inlineStr">
        <is>
          <t>Descriptive</t>
        </is>
      </c>
      <c r="E26" s="11" t="inlineStr">
        <is>
          <t>6</t>
        </is>
      </c>
      <c r="F26" s="11" t="inlineStr">
        <is>
          <t>No</t>
        </is>
      </c>
      <c r="G26" s="12" t="inlineStr"/>
      <c r="H26" s="14">
        <f>IF(G26="","",G26+30)</f>
        <v/>
      </c>
      <c r="I26" s="12" t="inlineStr"/>
      <c r="J26" s="9" t="inlineStr">
        <is>
          <t>PENDING</t>
        </is>
      </c>
      <c r="K26" s="14">
        <f>IF(I26="","",I26+15)</f>
        <v/>
      </c>
      <c r="L26" s="11" t="inlineStr"/>
    </row>
    <row r="27" ht="16" customHeight="1">
      <c r="A27" s="6" t="inlineStr">
        <is>
          <t>SD-07</t>
        </is>
      </c>
      <c r="B27" s="6" t="inlineStr">
        <is>
          <t>Slurry Seal Mix Design</t>
        </is>
      </c>
      <c r="C27" s="7" t="inlineStr">
        <is>
          <t>404</t>
        </is>
      </c>
      <c r="D27" s="7" t="inlineStr">
        <is>
          <t>Descriptive</t>
        </is>
      </c>
      <c r="E27" s="7" t="inlineStr">
        <is>
          <t>6</t>
        </is>
      </c>
      <c r="F27" s="7" t="inlineStr">
        <is>
          <t>No</t>
        </is>
      </c>
      <c r="G27" s="12" t="inlineStr"/>
      <c r="H27" s="13">
        <f>IF(G27="","",G27+30)</f>
        <v/>
      </c>
      <c r="I27" s="12" t="inlineStr"/>
      <c r="J27" s="9" t="inlineStr">
        <is>
          <t>PENDING</t>
        </is>
      </c>
      <c r="K27" s="13">
        <f>IF(I27="","",I27+15)</f>
        <v/>
      </c>
      <c r="L27" s="7" t="inlineStr">
        <is>
          <t>If applicable</t>
        </is>
      </c>
    </row>
    <row r="28" ht="16" customHeight="1">
      <c r="A28" s="10" t="inlineStr">
        <is>
          <t>SD-08</t>
        </is>
      </c>
      <c r="B28" s="10" t="inlineStr">
        <is>
          <t>PCC Mix Design</t>
        </is>
      </c>
      <c r="C28" s="11" t="inlineStr">
        <is>
          <t>411</t>
        </is>
      </c>
      <c r="D28" s="11" t="inlineStr">
        <is>
          <t>Descriptive</t>
        </is>
      </c>
      <c r="E28" s="11" t="inlineStr">
        <is>
          <t>6</t>
        </is>
      </c>
      <c r="F28" s="11" t="inlineStr">
        <is>
          <t>No</t>
        </is>
      </c>
      <c r="G28" s="12" t="inlineStr"/>
      <c r="H28" s="14">
        <f>IF(G28="","",G28+30)</f>
        <v/>
      </c>
      <c r="I28" s="12" t="inlineStr"/>
      <c r="J28" s="9" t="inlineStr">
        <is>
          <t>PENDING</t>
        </is>
      </c>
      <c r="K28" s="14">
        <f>IF(I28="","",I28+15)</f>
        <v/>
      </c>
      <c r="L28" s="11" t="inlineStr">
        <is>
          <t>If applicable</t>
        </is>
      </c>
    </row>
    <row r="29" ht="16" customHeight="1">
      <c r="A29" s="6" t="inlineStr">
        <is>
          <t>SD-09</t>
        </is>
      </c>
      <c r="B29" s="6" t="inlineStr">
        <is>
          <t>[Add project-specific item]</t>
        </is>
      </c>
      <c r="C29" s="7" t="inlineStr"/>
      <c r="D29" s="7" t="inlineStr"/>
      <c r="E29" s="7" t="inlineStr">
        <is>
          <t>6</t>
        </is>
      </c>
      <c r="F29" s="7" t="inlineStr"/>
      <c r="G29" s="12" t="inlineStr"/>
      <c r="H29" s="13">
        <f>IF(G29="","",G29+30)</f>
        <v/>
      </c>
      <c r="I29" s="12" t="inlineStr"/>
      <c r="J29" s="9" t="inlineStr">
        <is>
          <t>PENDING</t>
        </is>
      </c>
      <c r="K29" s="13">
        <f>IF(I29="","",I29+15)</f>
        <v/>
      </c>
      <c r="L29" s="7" t="inlineStr"/>
    </row>
    <row r="30" ht="16" customHeight="1">
      <c r="A30" s="10" t="inlineStr">
        <is>
          <t>SD-10</t>
        </is>
      </c>
      <c r="B30" s="10" t="inlineStr">
        <is>
          <t>[Add project-specific item]</t>
        </is>
      </c>
      <c r="C30" s="11" t="inlineStr"/>
      <c r="D30" s="11" t="inlineStr"/>
      <c r="E30" s="11" t="inlineStr">
        <is>
          <t>6</t>
        </is>
      </c>
      <c r="F30" s="11" t="inlineStr"/>
      <c r="G30" s="12" t="inlineStr"/>
      <c r="H30" s="14">
        <f>IF(G30="","",G30+30)</f>
        <v/>
      </c>
      <c r="I30" s="12" t="inlineStr"/>
      <c r="J30" s="9" t="inlineStr">
        <is>
          <t>PENDING</t>
        </is>
      </c>
      <c r="K30" s="14">
        <f>IF(I30="","",I30+15)</f>
        <v/>
      </c>
      <c r="L30" s="11" t="inlineStr"/>
    </row>
    <row r="32" ht="18" customHeight="1">
      <c r="A32" s="4" t="inlineStr">
        <is>
          <t>SECTION 3 — MATERIAL SAMPLES &amp; CERTIFICATIONS  (§106.04–106.05)  |  45-day review for samples  |  Submit certificates before material incorporation</t>
        </is>
      </c>
    </row>
    <row r="33" ht="30" customHeight="1">
      <c r="A33" s="5" t="inlineStr">
        <is>
          <t>#</t>
        </is>
      </c>
      <c r="B33" s="5" t="inlineStr">
        <is>
          <t>Description</t>
        </is>
      </c>
      <c r="C33" s="5" t="inlineStr">
        <is>
          <t>Spec
Ref</t>
        </is>
      </c>
      <c r="D33" s="5" t="inlineStr">
        <is>
          <t>Type</t>
        </is>
      </c>
      <c r="E33" s="5" t="inlineStr">
        <is>
          <t>Date
Submitted</t>
        </is>
      </c>
      <c r="F33" s="5" t="inlineStr">
        <is>
          <t>Engineer
Due (45d)</t>
        </is>
      </c>
      <c r="G33" s="5" t="inlineStr">
        <is>
          <t>Date
Returned</t>
        </is>
      </c>
      <c r="H33" s="5" t="inlineStr">
        <is>
          <t>Status</t>
        </is>
      </c>
      <c r="I33" s="5" t="inlineStr">
        <is>
          <t>Resubmit
Due (15d)</t>
        </is>
      </c>
      <c r="J33" s="5" t="inlineStr">
        <is>
          <t>Notes</t>
        </is>
      </c>
    </row>
    <row r="34" ht="16" customHeight="1">
      <c r="A34" s="6" t="inlineStr">
        <is>
          <t>MAT-01</t>
        </is>
      </c>
      <c r="B34" s="6" t="inlineStr">
        <is>
          <t>Asphalt Cement Certificate of Compliance (PG 64-16)</t>
        </is>
      </c>
      <c r="C34" s="7" t="inlineStr">
        <is>
          <t>401.02(A) / 702.01</t>
        </is>
      </c>
      <c r="D34" s="7" t="inlineStr">
        <is>
          <t>Certificate of Compliance</t>
        </is>
      </c>
      <c r="E34" s="12" t="inlineStr"/>
      <c r="F34" s="13">
        <f>IF(E34="","",E34+45)</f>
        <v/>
      </c>
      <c r="G34" s="12" t="inlineStr"/>
      <c r="H34" s="9" t="inlineStr">
        <is>
          <t>PENDING</t>
        </is>
      </c>
      <c r="I34" s="13">
        <f>IF(G34="","",G34+15)</f>
        <v/>
      </c>
      <c r="J34" s="7" t="inlineStr">
        <is>
          <t>Required before HMA production</t>
        </is>
      </c>
    </row>
    <row r="35" ht="16" customHeight="1">
      <c r="A35" s="10" t="inlineStr">
        <is>
          <t>MAT-02</t>
        </is>
      </c>
      <c r="B35" s="10" t="inlineStr">
        <is>
          <t>Aggregate for HMA — Sample</t>
        </is>
      </c>
      <c r="C35" s="11" t="inlineStr">
        <is>
          <t>401.02(A) / 703.09</t>
        </is>
      </c>
      <c r="D35" s="11" t="inlineStr">
        <is>
          <t>Material Sample</t>
        </is>
      </c>
      <c r="E35" s="12" t="inlineStr"/>
      <c r="F35" s="14">
        <f>IF(E35="","",E35+45)</f>
        <v/>
      </c>
      <c r="G35" s="12" t="inlineStr"/>
      <c r="H35" s="9" t="inlineStr">
        <is>
          <t>PENDING</t>
        </is>
      </c>
      <c r="I35" s="14">
        <f>IF(G35="","",G35+15)</f>
        <v/>
      </c>
      <c r="J35" s="11" t="inlineStr">
        <is>
          <t>45-day review clock applies</t>
        </is>
      </c>
    </row>
    <row r="36" ht="16" customHeight="1">
      <c r="A36" s="6" t="inlineStr">
        <is>
          <t>MAT-03</t>
        </is>
      </c>
      <c r="B36" s="6" t="inlineStr">
        <is>
          <t>Tack Coat — Certificate of Compliance</t>
        </is>
      </c>
      <c r="C36" s="7" t="inlineStr">
        <is>
          <t>407 / 702.04</t>
        </is>
      </c>
      <c r="D36" s="7" t="inlineStr">
        <is>
          <t>Certificate of Compliance</t>
        </is>
      </c>
      <c r="E36" s="12" t="inlineStr"/>
      <c r="F36" s="13">
        <f>IF(E36="","",E36+45)</f>
        <v/>
      </c>
      <c r="G36" s="12" t="inlineStr"/>
      <c r="H36" s="9" t="inlineStr">
        <is>
          <t>PENDING</t>
        </is>
      </c>
      <c r="I36" s="13">
        <f>IF(G36="","",G36+15)</f>
        <v/>
      </c>
      <c r="J36" s="7" t="inlineStr">
        <is>
          <t>Required before overlay</t>
        </is>
      </c>
    </row>
    <row r="37" ht="16" customHeight="1">
      <c r="A37" s="10" t="inlineStr">
        <is>
          <t>MAT-04</t>
        </is>
      </c>
      <c r="B37" s="10" t="inlineStr">
        <is>
          <t>Slurry Seal — Mix Design / Sample</t>
        </is>
      </c>
      <c r="C37" s="11" t="inlineStr">
        <is>
          <t>404</t>
        </is>
      </c>
      <c r="D37" s="11" t="inlineStr">
        <is>
          <t>Material Sample</t>
        </is>
      </c>
      <c r="E37" s="12" t="inlineStr"/>
      <c r="F37" s="14">
        <f>IF(E37="","",E37+45)</f>
        <v/>
      </c>
      <c r="G37" s="12" t="inlineStr"/>
      <c r="H37" s="9" t="inlineStr">
        <is>
          <t>PENDING</t>
        </is>
      </c>
      <c r="I37" s="14">
        <f>IF(G37="","",G37+15)</f>
        <v/>
      </c>
      <c r="J37" s="11" t="inlineStr">
        <is>
          <t>If applicable</t>
        </is>
      </c>
    </row>
    <row r="38" ht="16" customHeight="1">
      <c r="A38" s="6" t="inlineStr">
        <is>
          <t>MAT-05</t>
        </is>
      </c>
      <c r="B38" s="6" t="inlineStr">
        <is>
          <t>PCC — Concrete Mix Design</t>
        </is>
      </c>
      <c r="C38" s="7" t="inlineStr">
        <is>
          <t>411 / 701</t>
        </is>
      </c>
      <c r="D38" s="7" t="inlineStr">
        <is>
          <t>Material Sample</t>
        </is>
      </c>
      <c r="E38" s="12" t="inlineStr"/>
      <c r="F38" s="13">
        <f>IF(E38="","",E38+45)</f>
        <v/>
      </c>
      <c r="G38" s="12" t="inlineStr"/>
      <c r="H38" s="9" t="inlineStr">
        <is>
          <t>PENDING</t>
        </is>
      </c>
      <c r="I38" s="13">
        <f>IF(G38="","",G38+15)</f>
        <v/>
      </c>
      <c r="J38" s="7" t="inlineStr">
        <is>
          <t>If applicable</t>
        </is>
      </c>
    </row>
    <row r="39" ht="16" customHeight="1">
      <c r="A39" s="10" t="inlineStr">
        <is>
          <t>MAT-06</t>
        </is>
      </c>
      <c r="B39" s="10" t="inlineStr">
        <is>
          <t>Structural Steel / Rebar — Certificate of Compliance</t>
        </is>
      </c>
      <c r="C39" s="11" t="inlineStr">
        <is>
          <t>501+ / 709</t>
        </is>
      </c>
      <c r="D39" s="11" t="inlineStr">
        <is>
          <t>Certificate of Compliance</t>
        </is>
      </c>
      <c r="E39" s="12" t="inlineStr"/>
      <c r="F39" s="14">
        <f>IF(E39="","",E39+45)</f>
        <v/>
      </c>
      <c r="G39" s="12" t="inlineStr"/>
      <c r="H39" s="9" t="inlineStr">
        <is>
          <t>PENDING</t>
        </is>
      </c>
      <c r="I39" s="14">
        <f>IF(G39="","",G39+15)</f>
        <v/>
      </c>
      <c r="J39" s="11" t="inlineStr">
        <is>
          <t>Buy America certification required on Federal-Aid projects (§106.11)</t>
        </is>
      </c>
    </row>
    <row r="40" ht="16" customHeight="1">
      <c r="A40" s="6" t="inlineStr">
        <is>
          <t>MAT-07</t>
        </is>
      </c>
      <c r="B40" s="6" t="inlineStr">
        <is>
          <t>[Add project-specific material]</t>
        </is>
      </c>
      <c r="C40" s="7" t="inlineStr"/>
      <c r="D40" s="7" t="inlineStr"/>
      <c r="E40" s="12" t="inlineStr"/>
      <c r="F40" s="13">
        <f>IF(E40="","",E40+45)</f>
        <v/>
      </c>
      <c r="G40" s="12" t="inlineStr"/>
      <c r="H40" s="9" t="inlineStr">
        <is>
          <t>PENDING</t>
        </is>
      </c>
      <c r="I40" s="13">
        <f>IF(G40="","",G40+15)</f>
        <v/>
      </c>
      <c r="J40" s="7" t="inlineStr"/>
    </row>
    <row r="41" ht="16" customHeight="1">
      <c r="A41" s="10" t="inlineStr">
        <is>
          <t>MAT-08</t>
        </is>
      </c>
      <c r="B41" s="10" t="inlineStr">
        <is>
          <t>[Add project-specific material]</t>
        </is>
      </c>
      <c r="C41" s="11" t="inlineStr"/>
      <c r="D41" s="11" t="inlineStr"/>
      <c r="E41" s="12" t="inlineStr"/>
      <c r="F41" s="14">
        <f>IF(E41="","",E41+45)</f>
        <v/>
      </c>
      <c r="G41" s="12" t="inlineStr"/>
      <c r="H41" s="9" t="inlineStr">
        <is>
          <t>PENDING</t>
        </is>
      </c>
      <c r="I41" s="14">
        <f>IF(G41="","",G41+15)</f>
        <v/>
      </c>
      <c r="J41" s="11" t="inlineStr"/>
    </row>
  </sheetData>
  <mergeCells count="5">
    <mergeCell ref="A2:L2"/>
    <mergeCell ref="A19:L19"/>
    <mergeCell ref="A1:L1"/>
    <mergeCell ref="A5:L5"/>
    <mergeCell ref="A32:L3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50" customWidth="1" min="3" max="3"/>
  </cols>
  <sheetData>
    <row r="1" ht="16" customHeight="1">
      <c r="A1" s="15" t="inlineStr">
        <is>
          <t>STATUS CODES</t>
        </is>
      </c>
      <c r="B1" t="inlineStr"/>
      <c r="C1" s="16" t="inlineStr"/>
    </row>
    <row r="2" ht="16" customHeight="1">
      <c r="A2" s="17" t="inlineStr">
        <is>
          <t>PENDING</t>
        </is>
      </c>
      <c r="B2" s="18" t="inlineStr"/>
      <c r="C2" s="16" t="inlineStr">
        <is>
          <t>Not yet submitted</t>
        </is>
      </c>
    </row>
    <row r="3" ht="16" customHeight="1">
      <c r="A3" s="19" t="inlineStr">
        <is>
          <t>SUBMITTED</t>
        </is>
      </c>
      <c r="B3" s="20" t="inlineStr"/>
      <c r="C3" s="16" t="inlineStr">
        <is>
          <t>Submitted; review clock running</t>
        </is>
      </c>
    </row>
    <row r="4" ht="16" customHeight="1">
      <c r="A4" s="21" t="inlineStr">
        <is>
          <t>ACCEPTED</t>
        </is>
      </c>
      <c r="B4" s="22" t="inlineStr"/>
      <c r="C4" s="16" t="inlineStr">
        <is>
          <t>Engineer accepted; work may proceed</t>
        </is>
      </c>
    </row>
    <row r="5" ht="16" customHeight="1">
      <c r="A5" s="23" t="inlineStr">
        <is>
          <t>ACCEPTED W/ COMMENTS</t>
        </is>
      </c>
      <c r="B5" s="24" t="inlineStr"/>
      <c r="C5" s="16" t="inlineStr">
        <is>
          <t>Accepted with conditions noted on return</t>
        </is>
      </c>
    </row>
    <row r="6" ht="16" customHeight="1">
      <c r="A6" s="25" t="inlineStr">
        <is>
          <t>REJECTED</t>
        </is>
      </c>
      <c r="B6" s="26" t="inlineStr"/>
      <c r="C6" s="16" t="inlineStr">
        <is>
          <t>Returned; Contractor must resubmit within 15 days</t>
        </is>
      </c>
    </row>
    <row r="7" ht="16" customHeight="1">
      <c r="A7" s="25" t="inlineStr">
        <is>
          <t>RESUBMITTED</t>
        </is>
      </c>
      <c r="B7" s="26" t="inlineStr"/>
      <c r="C7" s="16" t="inlineStr">
        <is>
          <t>Resubmitted; review clock restarted</t>
        </is>
      </c>
    </row>
    <row r="8" ht="16" customHeight="1">
      <c r="A8" s="27" t="inlineStr">
        <is>
          <t>VOID</t>
        </is>
      </c>
      <c r="B8" s="28" t="inlineStr"/>
      <c r="C8" s="16" t="inlineStr">
        <is>
          <t>Not applicable to this project</t>
        </is>
      </c>
    </row>
    <row r="11">
      <c r="A11" s="29" t="inlineStr">
        <is>
          <t>KEY SPEC REFERENCES</t>
        </is>
      </c>
    </row>
    <row r="12" ht="16" customHeight="1">
      <c r="A12" s="29" t="inlineStr">
        <is>
          <t>§105.02–05.04</t>
        </is>
      </c>
      <c r="C12" s="30" t="inlineStr">
        <is>
          <t>Shop drawings / descriptive data: 6 copies; 30-day review; resubmit within 15 days of rejection</t>
        </is>
      </c>
    </row>
    <row r="13" ht="16" customHeight="1">
      <c r="A13" s="29" t="inlineStr">
        <is>
          <t>§106.04–06.05</t>
        </is>
      </c>
      <c r="C13" s="30" t="inlineStr">
        <is>
          <t>Material samples: 45-day review; Engineer acceptance ≠ final conformance</t>
        </is>
      </c>
    </row>
    <row r="14" ht="16" customHeight="1">
      <c r="A14" s="29" t="inlineStr">
        <is>
          <t>§108.03</t>
        </is>
      </c>
      <c r="C14" s="30" t="inlineStr">
        <is>
          <t>11 preconstruction items required; no progress payments until all accepted in writing</t>
        </is>
      </c>
    </row>
    <row r="15" ht="16" customHeight="1">
      <c r="A15" s="29" t="inlineStr">
        <is>
          <t>§105.03</t>
        </is>
      </c>
      <c r="C15" s="30" t="inlineStr">
        <is>
          <t>Shop drawings requiring PE stamp must be sealed by a Hawaii-licensed PE (not out-of-state)</t>
        </is>
      </c>
    </row>
    <row r="16" ht="16" customHeight="1">
      <c r="A16" s="29" t="inlineStr">
        <is>
          <t>§106.11</t>
        </is>
      </c>
      <c r="C16" s="30" t="inlineStr">
        <is>
          <t>Buy America: steel/iron on Federal-Aid projects must be American-made; certify before incorporation</t>
        </is>
      </c>
    </row>
    <row r="17" ht="16" customHeight="1">
      <c r="A17" s="29" t="inlineStr">
        <is>
          <t>§104.02</t>
        </is>
      </c>
      <c r="C17" s="30" t="inlineStr">
        <is>
          <t>Engineer marks on returned submittals are NOT change orders; follow 104.02 if you believe otherwise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2026-05-21T23:04:33Z</dcterms:created>
  <dcterms:modified xmlns:dcterms="http://purl.org/dc/terms/" xmlns:xsi="http://www.w3.org/2001/XMLSchema-instance" xsi:type="dcterms:W3CDTF">2026-05-21T23:04:33Z</dcterms:modified>
</cp:coreProperties>
</file>